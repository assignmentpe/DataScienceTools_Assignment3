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Paula Eriya Assignment\TechnicalAnalysis\Assignment3\crosscheck\"/>
    </mc:Choice>
  </mc:AlternateContent>
  <xr:revisionPtr revIDLastSave="0" documentId="8_{DF30F261-A970-4AE8-99A0-38440349A0BE}" xr6:coauthVersionLast="47" xr6:coauthVersionMax="47" xr10:uidLastSave="{00000000-0000-0000-0000-000000000000}"/>
  <bookViews>
    <workbookView xWindow="-108" yWindow="-108" windowWidth="23256" windowHeight="12456" xr2:uid="{41080983-5296-41CF-B913-D9BB6FDFAFF8}"/>
  </bookViews>
  <sheets>
    <sheet name="3 Verification notes" sheetId="3" r:id="rId1"/>
    <sheet name="2 Two hundred values" sheetId="2" r:id="rId2"/>
    <sheet name="1 Five value check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2" i="2"/>
  <c r="B9" i="1"/>
  <c r="B10" i="1" s="1"/>
  <c r="B8" i="1"/>
  <c r="E4" i="2" l="1"/>
  <c r="E6" i="2" s="1"/>
  <c r="B11" i="1"/>
  <c r="B12" i="1"/>
  <c r="B13" i="1" s="1"/>
  <c r="E5" i="2"/>
  <c r="E12" i="2" l="1"/>
  <c r="E13" i="2" s="1"/>
  <c r="E7" i="2"/>
  <c r="E8" i="2" s="1"/>
  <c r="B15" i="1" a="1"/>
  <c r="B15" i="1" s="1"/>
  <c r="B14" i="1" a="1"/>
  <c r="B14" i="1" s="1"/>
  <c r="B17" i="1"/>
</calcChain>
</file>

<file path=xl/sharedStrings.xml><?xml version="1.0" encoding="utf-8"?>
<sst xmlns="http://schemas.openxmlformats.org/spreadsheetml/2006/main" count="61" uniqueCount="54">
  <si>
    <t>ASSIGNMENT 3 - primary calculation in a spreadsheet</t>
  </si>
  <si>
    <t>Task: remove outliers using the 1.5 x IQR (Tukey) rule</t>
  </si>
  <si>
    <t>Every number in column B is a live formula. Nothing is typed in as an answer.</t>
  </si>
  <si>
    <t>Step</t>
  </si>
  <si>
    <t>Spreadsheet</t>
  </si>
  <si>
    <t>What R said</t>
  </si>
  <si>
    <t>Data, sorted</t>
  </si>
  <si>
    <t>Q1 = QUARTILE.INC(data, 1)</t>
  </si>
  <si>
    <t>Q3 = QUARTILE.INC(data, 3)</t>
  </si>
  <si>
    <t>IQR = Q3 - Q1</t>
  </si>
  <si>
    <t>Lower fence = Q1 - 1.5 * IQR</t>
  </si>
  <si>
    <t>Upper fence = Q3 + 1.5 * IQR</t>
  </si>
  <si>
    <t>How many values are outside the fences?</t>
  </si>
  <si>
    <t>Which values are kept?</t>
  </si>
  <si>
    <t>10, 15, 20, 25</t>
  </si>
  <si>
    <t>Which values are removed?</t>
  </si>
  <si>
    <t>VERDICT</t>
  </si>
  <si>
    <t>How I did this step</t>
  </si>
  <si>
    <t>1. I sorted the five numbers by hand: 10, 15, 20, 25, 999.</t>
  </si>
  <si>
    <t>2. Excel's QUARTILE.INC is the same calculation as R's quantile(type = 7), so B8 and B9 are directly comparable with R.</t>
  </si>
  <si>
    <t>3. IQR = Q3 - Q1, then the two fences, then I counted what falls outside them.</t>
  </si>
  <si>
    <t>4. I compared each cell with the number R printed in column C.</t>
  </si>
  <si>
    <t>5. Only 999 lies outside the fences [0, 40], so it is the only outlier.</t>
  </si>
  <si>
    <t>The 200 synthetic values are in column A, rows 3 to 202.</t>
  </si>
  <si>
    <t>Column E works the Tukey arithmetic out with live formulas. Column F is what R said.</t>
  </si>
  <si>
    <t>R said</t>
  </si>
  <si>
    <t>Q1 = QUARTILE.INC(range, 1)</t>
  </si>
  <si>
    <t>Q3 = QUARTILE.INC(range, 3)</t>
  </si>
  <si>
    <t>Outliers found</t>
  </si>
  <si>
    <t>The same data, R's OTHER quartile method</t>
  </si>
  <si>
    <t>Upper fence using R's tukey method (fivenum)</t>
  </si>
  <si>
    <t>R</t>
  </si>
  <si>
    <t>Upper fence from the spreadsheet (type 7)</t>
  </si>
  <si>
    <t>Sheets</t>
  </si>
  <si>
    <t>Difference between the two upper fences</t>
  </si>
  <si>
    <t>Outliers found with the tukey fences</t>
  </si>
  <si>
    <t>Why this matters</t>
  </si>
  <si>
    <t>The two upper fences differ by only 0.07, and one value, 85.18, happens to sit between them.</t>
  </si>
  <si>
    <t>So the spreadsheet calls 85.18 an outlier and R's tukey method does not.</t>
  </si>
  <si>
    <t>Both answers are correct. There is no single right quartile, which is why the</t>
  </si>
  <si>
    <t>function takes a method argument instead of hard-coding one.</t>
  </si>
  <si>
    <t>How the brief's Verification Pattern was applied to an R task</t>
  </si>
  <si>
    <t>The brief</t>
  </si>
  <si>
    <t>What I did for this R task</t>
  </si>
  <si>
    <t>a) Primary calculation in Sheets</t>
  </si>
  <si>
    <t>This workbook. The Tukey arithmetic is worked out from the raw values with live formulas, on the five-value example (sheet 1) and on the 200-value vector (sheet 2). No answer is typed in by hand.</t>
  </si>
  <si>
    <t>b) Independent cross-check</t>
  </si>
  <si>
    <t>R's own boxplot.stats(). It was written by the R developers, not by ChatGPT and not by me, so it is a genuinely independent opinion. I also cross-checked the quartile method against stats::fivenum() and against three different R methods.</t>
  </si>
  <si>
    <t>c) Peer or self spot-check</t>
  </si>
  <si>
    <t>Self spot-check. I worked the five-value example out by hand on paper, then ran 14 test cases including an empty vector, a vector that is all NA, text passed instead of numbers, a vector where every value is identical, and a vector of only two observations.</t>
  </si>
  <si>
    <t>Rule 5 - do not allow AI to compute</t>
  </si>
  <si>
    <t>No arithmetic was ever done by AI. ChatGPT wrote code. Every quartile, IQR, fence and outlier count in this workbook and in the R output was produced by a spreadsheet formula or by R running code, and each one was checked by hand or against a second method.</t>
  </si>
  <si>
    <t>Rule 9 - privacy</t>
  </si>
  <si>
    <t>Only synthetic data was used. Every number in this workbook was generated by set.seed() in R or typed in by hand as an example. No real, personal or college data was sent to any AI tool at any 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</si>
</sst>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0EDC-54F1-4701-AF61-CF9AEA9DC87E}">
  <dimension ref="A1:B8"/>
  <sheetViews>
    <sheetView tabSelected="1" workbookViewId="0"/>
  </sheetViews>
  <sheetFormatPr defaultRowHeight="14.4" x14ac:dyDescent="0.3"/>
  <cols>
    <col min="1" max="1" width="34.77734375" style="5" customWidth="1"/>
    <col min="2" max="2" width="95.77734375" style="5" customWidth="1"/>
    <col min="3" max="16384" width="8.88671875" style="5"/>
  </cols>
  <sheetData>
    <row r="1" spans="1:2" ht="34.799999999999997" x14ac:dyDescent="0.35">
      <c r="A1" s="4" t="s">
        <v>41</v>
      </c>
    </row>
    <row r="3" spans="1:2" x14ac:dyDescent="0.3">
      <c r="A3" s="6" t="s">
        <v>42</v>
      </c>
      <c r="B3" s="6" t="s">
        <v>43</v>
      </c>
    </row>
    <row r="4" spans="1:2" ht="28.8" x14ac:dyDescent="0.3">
      <c r="A4" s="5" t="s">
        <v>44</v>
      </c>
      <c r="B4" s="5" t="s">
        <v>45</v>
      </c>
    </row>
    <row r="5" spans="1:2" ht="43.2" x14ac:dyDescent="0.3">
      <c r="A5" s="5" t="s">
        <v>46</v>
      </c>
      <c r="B5" s="5" t="s">
        <v>47</v>
      </c>
    </row>
    <row r="6" spans="1:2" ht="43.2" x14ac:dyDescent="0.3">
      <c r="A6" s="5" t="s">
        <v>48</v>
      </c>
      <c r="B6" s="5" t="s">
        <v>49</v>
      </c>
    </row>
    <row r="7" spans="1:2" ht="43.2" x14ac:dyDescent="0.3">
      <c r="A7" s="5" t="s">
        <v>50</v>
      </c>
      <c r="B7" s="5" t="s">
        <v>51</v>
      </c>
    </row>
    <row r="8" spans="1:2" ht="28.8" x14ac:dyDescent="0.3">
      <c r="A8" s="5" t="s">
        <v>52</v>
      </c>
      <c r="B8" s="5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41C5-9E98-4E47-AE06-FA0A8B9FBD37}">
  <dimension ref="A1:F202"/>
  <sheetViews>
    <sheetView workbookViewId="0"/>
  </sheetViews>
  <sheetFormatPr defaultRowHeight="14.4" x14ac:dyDescent="0.3"/>
  <cols>
    <col min="4" max="4" width="44.77734375" customWidth="1"/>
    <col min="5" max="5" width="16.77734375" customWidth="1"/>
    <col min="6" max="6" width="12.77734375" customWidth="1"/>
  </cols>
  <sheetData>
    <row r="1" spans="1:6" x14ac:dyDescent="0.3">
      <c r="A1" t="s">
        <v>23</v>
      </c>
      <c r="D1" s="1" t="s">
        <v>3</v>
      </c>
      <c r="E1" s="1" t="s">
        <v>4</v>
      </c>
      <c r="F1" s="1" t="s">
        <v>25</v>
      </c>
    </row>
    <row r="2" spans="1:6" x14ac:dyDescent="0.3">
      <c r="A2" t="s">
        <v>24</v>
      </c>
      <c r="D2" t="s">
        <v>26</v>
      </c>
      <c r="E2">
        <f>_xlfn.QUARTILE.INC($A$3:$A$202,1)</f>
        <v>26.974999999999998</v>
      </c>
      <c r="F2">
        <v>26.975000000000001</v>
      </c>
    </row>
    <row r="3" spans="1:6" x14ac:dyDescent="0.3">
      <c r="A3" s="3">
        <v>72.64</v>
      </c>
      <c r="D3" t="s">
        <v>27</v>
      </c>
      <c r="E3">
        <f>_xlfn.QUARTILE.INC($A$3:$A$202,3)</f>
        <v>50.239999999999995</v>
      </c>
      <c r="F3">
        <v>50.24</v>
      </c>
    </row>
    <row r="4" spans="1:6" x14ac:dyDescent="0.3">
      <c r="A4" s="3">
        <v>27.6</v>
      </c>
      <c r="D4" t="s">
        <v>9</v>
      </c>
      <c r="E4">
        <f>E3-E2</f>
        <v>23.264999999999997</v>
      </c>
      <c r="F4">
        <v>23.265000000000001</v>
      </c>
    </row>
    <row r="5" spans="1:6" x14ac:dyDescent="0.3">
      <c r="A5" s="3">
        <v>43.88</v>
      </c>
      <c r="D5" t="s">
        <v>10</v>
      </c>
      <c r="E5">
        <f>E2-1.5*E4</f>
        <v>-7.9224999999999959</v>
      </c>
      <c r="F5">
        <v>-7.9225000000000003</v>
      </c>
    </row>
    <row r="6" spans="1:6" x14ac:dyDescent="0.3">
      <c r="A6" s="3">
        <v>50.22</v>
      </c>
      <c r="D6" t="s">
        <v>11</v>
      </c>
      <c r="E6">
        <f>E3+1.5*E4</f>
        <v>85.137499999999989</v>
      </c>
      <c r="F6">
        <v>85.137500000000003</v>
      </c>
    </row>
    <row r="7" spans="1:6" x14ac:dyDescent="0.3">
      <c r="A7" s="3">
        <v>44.8</v>
      </c>
      <c r="D7" t="s">
        <v>28</v>
      </c>
      <c r="E7">
        <f>COUNTIF($A$3:$A$202,"&gt;"&amp;E6)+COUNTIF($A$3:$A$202,"&lt;"&amp;E5)</f>
        <v>7</v>
      </c>
      <c r="F7">
        <v>7</v>
      </c>
    </row>
    <row r="8" spans="1:6" x14ac:dyDescent="0.3">
      <c r="A8" s="3">
        <v>34.71</v>
      </c>
      <c r="D8" s="1" t="s">
        <v>16</v>
      </c>
      <c r="E8" s="1" t="str">
        <f>IF(AND(ABS(E2-F2)&lt;0.001,ABS(E3-F3)&lt;0.001,E7=F7),"MATCH","MISMATCH")</f>
        <v>MATCH</v>
      </c>
    </row>
    <row r="9" spans="1:6" x14ac:dyDescent="0.3">
      <c r="A9" s="3">
        <v>77.930000000000007</v>
      </c>
    </row>
    <row r="10" spans="1:6" x14ac:dyDescent="0.3">
      <c r="A10" s="3">
        <v>34.909999999999997</v>
      </c>
      <c r="D10" s="1" t="s">
        <v>29</v>
      </c>
    </row>
    <row r="11" spans="1:6" x14ac:dyDescent="0.3">
      <c r="A11" s="3">
        <v>100.4</v>
      </c>
      <c r="D11" t="s">
        <v>30</v>
      </c>
      <c r="E11">
        <v>85.21</v>
      </c>
      <c r="F11" t="s">
        <v>31</v>
      </c>
    </row>
    <row r="12" spans="1:6" x14ac:dyDescent="0.3">
      <c r="A12" s="3">
        <v>35.47</v>
      </c>
      <c r="D12" t="s">
        <v>32</v>
      </c>
      <c r="E12">
        <f>E6</f>
        <v>85.137499999999989</v>
      </c>
      <c r="F12" t="s">
        <v>33</v>
      </c>
    </row>
    <row r="13" spans="1:6" x14ac:dyDescent="0.3">
      <c r="A13" s="3">
        <v>70.28</v>
      </c>
      <c r="D13" t="s">
        <v>34</v>
      </c>
      <c r="E13">
        <f>E11-E12</f>
        <v>7.2500000000005116E-2</v>
      </c>
    </row>
    <row r="14" spans="1:6" x14ac:dyDescent="0.3">
      <c r="A14" s="3">
        <v>114.82</v>
      </c>
      <c r="D14" t="s">
        <v>35</v>
      </c>
      <c r="E14">
        <v>6</v>
      </c>
      <c r="F14" t="s">
        <v>31</v>
      </c>
    </row>
    <row r="15" spans="1:6" x14ac:dyDescent="0.3">
      <c r="A15" s="3">
        <v>18.28</v>
      </c>
    </row>
    <row r="16" spans="1:6" x14ac:dyDescent="0.3">
      <c r="A16" s="3">
        <v>31.84</v>
      </c>
      <c r="D16" s="1" t="s">
        <v>36</v>
      </c>
    </row>
    <row r="17" spans="1:4" x14ac:dyDescent="0.3">
      <c r="A17" s="3">
        <v>34.24</v>
      </c>
      <c r="D17" t="s">
        <v>37</v>
      </c>
    </row>
    <row r="18" spans="1:4" x14ac:dyDescent="0.3">
      <c r="A18" s="3">
        <v>50.3</v>
      </c>
      <c r="D18" t="s">
        <v>38</v>
      </c>
    </row>
    <row r="19" spans="1:4" x14ac:dyDescent="0.3">
      <c r="A19" s="3">
        <v>31.75</v>
      </c>
      <c r="D19" s="2" t="s">
        <v>39</v>
      </c>
    </row>
    <row r="20" spans="1:4" x14ac:dyDescent="0.3">
      <c r="A20" s="3">
        <v>9.6999999999999993</v>
      </c>
      <c r="D20" s="2" t="s">
        <v>40</v>
      </c>
    </row>
    <row r="21" spans="1:4" x14ac:dyDescent="0.3">
      <c r="A21" s="3">
        <v>10.8</v>
      </c>
    </row>
    <row r="22" spans="1:4" x14ac:dyDescent="0.3">
      <c r="A22" s="3">
        <v>70.81</v>
      </c>
    </row>
    <row r="23" spans="1:4" x14ac:dyDescent="0.3">
      <c r="A23" s="3">
        <v>31.4</v>
      </c>
    </row>
    <row r="24" spans="1:4" x14ac:dyDescent="0.3">
      <c r="A24" s="3">
        <v>15.02</v>
      </c>
    </row>
    <row r="25" spans="1:4" x14ac:dyDescent="0.3">
      <c r="A25" s="3">
        <v>33.58</v>
      </c>
    </row>
    <row r="26" spans="1:4" x14ac:dyDescent="0.3">
      <c r="A26" s="3">
        <v>67.180000000000007</v>
      </c>
    </row>
    <row r="27" spans="1:4" x14ac:dyDescent="0.3">
      <c r="A27" s="3">
        <v>94.41</v>
      </c>
    </row>
    <row r="28" spans="1:4" x14ac:dyDescent="0.3">
      <c r="A28" s="3">
        <v>29.51</v>
      </c>
    </row>
    <row r="29" spans="1:4" x14ac:dyDescent="0.3">
      <c r="A29" s="3">
        <v>32.18</v>
      </c>
    </row>
    <row r="30" spans="1:4" x14ac:dyDescent="0.3">
      <c r="A30" s="3">
        <v>15.16</v>
      </c>
    </row>
    <row r="31" spans="1:4" x14ac:dyDescent="0.3">
      <c r="A31" s="3">
        <v>46.06</v>
      </c>
    </row>
    <row r="32" spans="1:4" x14ac:dyDescent="0.3">
      <c r="A32" s="3">
        <v>26.58</v>
      </c>
    </row>
    <row r="33" spans="1:1" x14ac:dyDescent="0.3">
      <c r="A33" s="3">
        <v>45.96</v>
      </c>
    </row>
    <row r="34" spans="1:1" x14ac:dyDescent="0.3">
      <c r="A34" s="3">
        <v>52.06</v>
      </c>
    </row>
    <row r="35" spans="1:1" x14ac:dyDescent="0.3">
      <c r="A35" s="3">
        <v>61.41</v>
      </c>
    </row>
    <row r="36" spans="1:1" x14ac:dyDescent="0.3">
      <c r="A36" s="3">
        <v>26.99</v>
      </c>
    </row>
    <row r="37" spans="1:1" x14ac:dyDescent="0.3">
      <c r="A37" s="3">
        <v>47.11</v>
      </c>
    </row>
    <row r="38" spans="1:1" x14ac:dyDescent="0.3">
      <c r="A38" s="3">
        <v>15.51</v>
      </c>
    </row>
    <row r="39" spans="1:1" x14ac:dyDescent="0.3">
      <c r="A39" s="3">
        <v>24.72</v>
      </c>
    </row>
    <row r="40" spans="1:1" x14ac:dyDescent="0.3">
      <c r="A40" s="3">
        <v>23.92</v>
      </c>
    </row>
    <row r="41" spans="1:1" x14ac:dyDescent="0.3">
      <c r="A41" s="3">
        <v>10.95</v>
      </c>
    </row>
    <row r="42" spans="1:1" x14ac:dyDescent="0.3">
      <c r="A42" s="3">
        <v>37.270000000000003</v>
      </c>
    </row>
    <row r="43" spans="1:1" x14ac:dyDescent="0.3">
      <c r="A43" s="3">
        <v>40.57</v>
      </c>
    </row>
    <row r="44" spans="1:1" x14ac:dyDescent="0.3">
      <c r="A44" s="3">
        <v>30.55</v>
      </c>
    </row>
    <row r="45" spans="1:1" x14ac:dyDescent="0.3">
      <c r="A45" s="3">
        <v>53.47</v>
      </c>
    </row>
    <row r="46" spans="1:1" x14ac:dyDescent="0.3">
      <c r="A46" s="3">
        <v>25.45</v>
      </c>
    </row>
    <row r="47" spans="1:1" x14ac:dyDescent="0.3">
      <c r="A47" s="3">
        <v>18.46</v>
      </c>
    </row>
    <row r="48" spans="1:1" x14ac:dyDescent="0.3">
      <c r="A48" s="3">
        <v>45.44</v>
      </c>
    </row>
    <row r="49" spans="1:1" x14ac:dyDescent="0.3">
      <c r="A49" s="3">
        <v>24.39</v>
      </c>
    </row>
    <row r="50" spans="1:1" x14ac:dyDescent="0.3">
      <c r="A50" s="3">
        <v>75.34</v>
      </c>
    </row>
    <row r="51" spans="1:1" x14ac:dyDescent="0.3">
      <c r="A51" s="3">
        <v>29.5</v>
      </c>
    </row>
    <row r="52" spans="1:1" x14ac:dyDescent="0.3">
      <c r="A52" s="3">
        <v>50.8</v>
      </c>
    </row>
    <row r="53" spans="1:1" x14ac:dyDescent="0.3">
      <c r="A53" s="3">
        <v>42.99</v>
      </c>
    </row>
    <row r="54" spans="1:1" x14ac:dyDescent="0.3">
      <c r="A54" s="3">
        <v>24.73</v>
      </c>
    </row>
    <row r="55" spans="1:1" x14ac:dyDescent="0.3">
      <c r="A55" s="3">
        <v>80.47</v>
      </c>
    </row>
    <row r="56" spans="1:1" x14ac:dyDescent="0.3">
      <c r="A56" s="3">
        <v>50.47</v>
      </c>
    </row>
    <row r="57" spans="1:1" x14ac:dyDescent="0.3">
      <c r="A57" s="3">
        <v>38.28</v>
      </c>
    </row>
    <row r="58" spans="1:1" x14ac:dyDescent="0.3">
      <c r="A58" s="3">
        <v>42.03</v>
      </c>
    </row>
    <row r="59" spans="1:1" x14ac:dyDescent="0.3">
      <c r="A59" s="3">
        <v>51.4</v>
      </c>
    </row>
    <row r="60" spans="1:1" x14ac:dyDescent="0.3">
      <c r="A60" s="3">
        <v>38.28</v>
      </c>
    </row>
    <row r="61" spans="1:1" x14ac:dyDescent="0.3">
      <c r="A61" s="3">
        <v>8.19</v>
      </c>
    </row>
    <row r="62" spans="1:1" x14ac:dyDescent="0.3">
      <c r="A62" s="3">
        <v>42.2</v>
      </c>
    </row>
    <row r="63" spans="1:1" x14ac:dyDescent="0.3">
      <c r="A63" s="3">
        <v>30.46</v>
      </c>
    </row>
    <row r="64" spans="1:1" x14ac:dyDescent="0.3">
      <c r="A64" s="3">
        <v>40.15</v>
      </c>
    </row>
    <row r="65" spans="1:1" x14ac:dyDescent="0.3">
      <c r="A65" s="3">
        <v>48.96</v>
      </c>
    </row>
    <row r="66" spans="1:1" x14ac:dyDescent="0.3">
      <c r="A66" s="3">
        <v>73.69</v>
      </c>
    </row>
    <row r="67" spans="1:1" x14ac:dyDescent="0.3">
      <c r="A67" s="3">
        <v>25.44</v>
      </c>
    </row>
    <row r="68" spans="1:1" x14ac:dyDescent="0.3">
      <c r="A68" s="3">
        <v>70.19</v>
      </c>
    </row>
    <row r="69" spans="1:1" x14ac:dyDescent="0.3">
      <c r="A69" s="3">
        <v>43.29</v>
      </c>
    </row>
    <row r="70" spans="1:1" x14ac:dyDescent="0.3">
      <c r="A70" s="3">
        <v>61.51</v>
      </c>
    </row>
    <row r="71" spans="1:1" x14ac:dyDescent="0.3">
      <c r="A71" s="3">
        <v>58</v>
      </c>
    </row>
    <row r="72" spans="1:1" x14ac:dyDescent="0.3">
      <c r="A72" s="3">
        <v>52.48</v>
      </c>
    </row>
    <row r="73" spans="1:1" x14ac:dyDescent="0.3">
      <c r="A73" s="3">
        <v>21.72</v>
      </c>
    </row>
    <row r="74" spans="1:1" x14ac:dyDescent="0.3">
      <c r="A74" s="3">
        <v>34.979999999999997</v>
      </c>
    </row>
    <row r="75" spans="1:1" x14ac:dyDescent="0.3">
      <c r="A75" s="3">
        <v>49.99</v>
      </c>
    </row>
    <row r="76" spans="1:1" x14ac:dyDescent="0.3">
      <c r="A76" s="3">
        <v>22.72</v>
      </c>
    </row>
    <row r="77" spans="1:1" x14ac:dyDescent="0.3">
      <c r="A77" s="3">
        <v>27.9</v>
      </c>
    </row>
    <row r="78" spans="1:1" x14ac:dyDescent="0.3">
      <c r="A78" s="3">
        <v>48.94</v>
      </c>
    </row>
    <row r="79" spans="1:1" x14ac:dyDescent="0.3">
      <c r="A79" s="3">
        <v>53.74</v>
      </c>
    </row>
    <row r="80" spans="1:1" x14ac:dyDescent="0.3">
      <c r="A80" s="3">
        <v>46.15</v>
      </c>
    </row>
    <row r="81" spans="1:1" x14ac:dyDescent="0.3">
      <c r="A81" s="3">
        <v>23.5</v>
      </c>
    </row>
    <row r="82" spans="1:1" x14ac:dyDescent="0.3">
      <c r="A82" s="3">
        <v>21.12</v>
      </c>
    </row>
    <row r="83" spans="1:1" x14ac:dyDescent="0.3">
      <c r="A83" s="3">
        <v>77.97</v>
      </c>
    </row>
    <row r="84" spans="1:1" x14ac:dyDescent="0.3">
      <c r="A84" s="3">
        <v>41.64</v>
      </c>
    </row>
    <row r="85" spans="1:1" x14ac:dyDescent="0.3">
      <c r="A85" s="3">
        <v>38.25</v>
      </c>
    </row>
    <row r="86" spans="1:1" x14ac:dyDescent="0.3">
      <c r="A86" s="3">
        <v>34.450000000000003</v>
      </c>
    </row>
    <row r="87" spans="1:1" x14ac:dyDescent="0.3">
      <c r="A87" s="3">
        <v>20.14</v>
      </c>
    </row>
    <row r="88" spans="1:1" x14ac:dyDescent="0.3">
      <c r="A88" s="3">
        <v>49.7</v>
      </c>
    </row>
    <row r="89" spans="1:1" x14ac:dyDescent="0.3">
      <c r="A89" s="3">
        <v>32.83</v>
      </c>
    </row>
    <row r="90" spans="1:1" x14ac:dyDescent="0.3">
      <c r="A90" s="3">
        <v>33.4</v>
      </c>
    </row>
    <row r="91" spans="1:1" x14ac:dyDescent="0.3">
      <c r="A91" s="3">
        <v>58.36</v>
      </c>
    </row>
    <row r="92" spans="1:1" x14ac:dyDescent="0.3">
      <c r="A92" s="3">
        <v>55.2</v>
      </c>
    </row>
    <row r="93" spans="1:1" x14ac:dyDescent="0.3">
      <c r="A93" s="3">
        <v>73.41</v>
      </c>
    </row>
    <row r="94" spans="1:1" x14ac:dyDescent="0.3">
      <c r="A94" s="3">
        <v>28.84</v>
      </c>
    </row>
    <row r="95" spans="1:1" x14ac:dyDescent="0.3">
      <c r="A95" s="3">
        <v>50.66</v>
      </c>
    </row>
    <row r="96" spans="1:1" x14ac:dyDescent="0.3">
      <c r="A96" s="3">
        <v>73.37</v>
      </c>
    </row>
    <row r="97" spans="1:1" x14ac:dyDescent="0.3">
      <c r="A97" s="3">
        <v>21</v>
      </c>
    </row>
    <row r="98" spans="1:1" x14ac:dyDescent="0.3">
      <c r="A98" s="3">
        <v>23.8</v>
      </c>
    </row>
    <row r="99" spans="1:1" x14ac:dyDescent="0.3">
      <c r="A99" s="3">
        <v>20.78</v>
      </c>
    </row>
    <row r="100" spans="1:1" x14ac:dyDescent="0.3">
      <c r="A100" s="3">
        <v>17.64</v>
      </c>
    </row>
    <row r="101" spans="1:1" x14ac:dyDescent="0.3">
      <c r="A101" s="3">
        <v>38.090000000000003</v>
      </c>
    </row>
    <row r="102" spans="1:1" x14ac:dyDescent="0.3">
      <c r="A102" s="3">
        <v>50.73</v>
      </c>
    </row>
    <row r="103" spans="1:1" x14ac:dyDescent="0.3">
      <c r="A103" s="3">
        <v>66.72</v>
      </c>
    </row>
    <row r="104" spans="1:1" x14ac:dyDescent="0.3">
      <c r="A104" s="3">
        <v>61.71</v>
      </c>
    </row>
    <row r="105" spans="1:1" x14ac:dyDescent="0.3">
      <c r="A105" s="3">
        <v>22.16</v>
      </c>
    </row>
    <row r="106" spans="1:1" x14ac:dyDescent="0.3">
      <c r="A106" s="3">
        <v>92.23</v>
      </c>
    </row>
    <row r="107" spans="1:1" x14ac:dyDescent="0.3">
      <c r="A107" s="3">
        <v>26.22</v>
      </c>
    </row>
    <row r="108" spans="1:1" x14ac:dyDescent="0.3">
      <c r="A108" s="3">
        <v>38.58</v>
      </c>
    </row>
    <row r="109" spans="1:1" x14ac:dyDescent="0.3">
      <c r="A109" s="3">
        <v>29.63</v>
      </c>
    </row>
    <row r="110" spans="1:1" x14ac:dyDescent="0.3">
      <c r="A110" s="3">
        <v>34.43</v>
      </c>
    </row>
    <row r="111" spans="1:1" x14ac:dyDescent="0.3">
      <c r="A111" s="3">
        <v>40.21</v>
      </c>
    </row>
    <row r="112" spans="1:1" x14ac:dyDescent="0.3">
      <c r="A112" s="3">
        <v>38.85</v>
      </c>
    </row>
    <row r="113" spans="1:1" x14ac:dyDescent="0.3">
      <c r="A113" s="3">
        <v>36.14</v>
      </c>
    </row>
    <row r="114" spans="1:1" x14ac:dyDescent="0.3">
      <c r="A114" s="3">
        <v>38.630000000000003</v>
      </c>
    </row>
    <row r="115" spans="1:1" x14ac:dyDescent="0.3">
      <c r="A115" s="3">
        <v>28.71</v>
      </c>
    </row>
    <row r="116" spans="1:1" x14ac:dyDescent="0.3">
      <c r="A116" s="3">
        <v>28.44</v>
      </c>
    </row>
    <row r="117" spans="1:1" x14ac:dyDescent="0.3">
      <c r="A117" s="3">
        <v>15.95</v>
      </c>
    </row>
    <row r="118" spans="1:1" x14ac:dyDescent="0.3">
      <c r="A118" s="3">
        <v>30.23</v>
      </c>
    </row>
    <row r="119" spans="1:1" x14ac:dyDescent="0.3">
      <c r="A119" s="3">
        <v>28.32</v>
      </c>
    </row>
    <row r="120" spans="1:1" x14ac:dyDescent="0.3">
      <c r="A120" s="3">
        <v>141.31</v>
      </c>
    </row>
    <row r="121" spans="1:1" x14ac:dyDescent="0.3">
      <c r="A121" s="3">
        <v>18.52</v>
      </c>
    </row>
    <row r="122" spans="1:1" x14ac:dyDescent="0.3">
      <c r="A122" s="3">
        <v>39.200000000000003</v>
      </c>
    </row>
    <row r="123" spans="1:1" x14ac:dyDescent="0.3">
      <c r="A123" s="3">
        <v>17.34</v>
      </c>
    </row>
    <row r="124" spans="1:1" x14ac:dyDescent="0.3">
      <c r="A124" s="3">
        <v>17.55</v>
      </c>
    </row>
    <row r="125" spans="1:1" x14ac:dyDescent="0.3">
      <c r="A125" s="3">
        <v>38.950000000000003</v>
      </c>
    </row>
    <row r="126" spans="1:1" x14ac:dyDescent="0.3">
      <c r="A126" s="3">
        <v>22.24</v>
      </c>
    </row>
    <row r="127" spans="1:1" x14ac:dyDescent="0.3">
      <c r="A127" s="3">
        <v>36.56</v>
      </c>
    </row>
    <row r="128" spans="1:1" x14ac:dyDescent="0.3">
      <c r="A128" s="3">
        <v>29.54</v>
      </c>
    </row>
    <row r="129" spans="1:1" x14ac:dyDescent="0.3">
      <c r="A129" s="3">
        <v>26.93</v>
      </c>
    </row>
    <row r="130" spans="1:1" x14ac:dyDescent="0.3">
      <c r="A130" s="3">
        <v>13.3</v>
      </c>
    </row>
    <row r="131" spans="1:1" x14ac:dyDescent="0.3">
      <c r="A131" s="3">
        <v>19.84</v>
      </c>
    </row>
    <row r="132" spans="1:1" x14ac:dyDescent="0.3">
      <c r="A132" s="3">
        <v>40.04</v>
      </c>
    </row>
    <row r="133" spans="1:1" x14ac:dyDescent="0.3">
      <c r="A133" s="3">
        <v>48.61</v>
      </c>
    </row>
    <row r="134" spans="1:1" x14ac:dyDescent="0.3">
      <c r="A134" s="3">
        <v>28.6</v>
      </c>
    </row>
    <row r="135" spans="1:1" x14ac:dyDescent="0.3">
      <c r="A135" s="3">
        <v>36.6</v>
      </c>
    </row>
    <row r="136" spans="1:1" x14ac:dyDescent="0.3">
      <c r="A136" s="3">
        <v>64.16</v>
      </c>
    </row>
    <row r="137" spans="1:1" x14ac:dyDescent="0.3">
      <c r="A137" s="3">
        <v>75.180000000000007</v>
      </c>
    </row>
    <row r="138" spans="1:1" x14ac:dyDescent="0.3">
      <c r="A138" s="3">
        <v>21.15</v>
      </c>
    </row>
    <row r="139" spans="1:1" x14ac:dyDescent="0.3">
      <c r="A139" s="3">
        <v>34.51</v>
      </c>
    </row>
    <row r="140" spans="1:1" x14ac:dyDescent="0.3">
      <c r="A140" s="3">
        <v>66.739999999999995</v>
      </c>
    </row>
    <row r="141" spans="1:1" x14ac:dyDescent="0.3">
      <c r="A141" s="3">
        <v>28.94</v>
      </c>
    </row>
    <row r="142" spans="1:1" x14ac:dyDescent="0.3">
      <c r="A142" s="3">
        <v>35.65</v>
      </c>
    </row>
    <row r="143" spans="1:1" x14ac:dyDescent="0.3">
      <c r="A143" s="3">
        <v>35.06</v>
      </c>
    </row>
    <row r="144" spans="1:1" x14ac:dyDescent="0.3">
      <c r="A144" s="3">
        <v>23.48</v>
      </c>
    </row>
    <row r="145" spans="1:1" x14ac:dyDescent="0.3">
      <c r="A145" s="3">
        <v>29.3</v>
      </c>
    </row>
    <row r="146" spans="1:1" x14ac:dyDescent="0.3">
      <c r="A146" s="3">
        <v>36.06</v>
      </c>
    </row>
    <row r="147" spans="1:1" x14ac:dyDescent="0.3">
      <c r="A147" s="3">
        <v>29.76</v>
      </c>
    </row>
    <row r="148" spans="1:1" x14ac:dyDescent="0.3">
      <c r="A148" s="3">
        <v>63.86</v>
      </c>
    </row>
    <row r="149" spans="1:1" x14ac:dyDescent="0.3">
      <c r="A149" s="3">
        <v>28.77</v>
      </c>
    </row>
    <row r="150" spans="1:1" x14ac:dyDescent="0.3">
      <c r="A150" s="3">
        <v>29.47</v>
      </c>
    </row>
    <row r="151" spans="1:1" x14ac:dyDescent="0.3">
      <c r="A151" s="3">
        <v>51.85</v>
      </c>
    </row>
    <row r="152" spans="1:1" x14ac:dyDescent="0.3">
      <c r="A152" s="3">
        <v>21.58</v>
      </c>
    </row>
    <row r="153" spans="1:1" x14ac:dyDescent="0.3">
      <c r="A153" s="3">
        <v>35.86</v>
      </c>
    </row>
    <row r="154" spans="1:1" x14ac:dyDescent="0.3">
      <c r="A154" s="3">
        <v>16.850000000000001</v>
      </c>
    </row>
    <row r="155" spans="1:1" x14ac:dyDescent="0.3">
      <c r="A155" s="3">
        <v>65.599999999999994</v>
      </c>
    </row>
    <row r="156" spans="1:1" x14ac:dyDescent="0.3">
      <c r="A156" s="3">
        <v>31.92</v>
      </c>
    </row>
    <row r="157" spans="1:1" x14ac:dyDescent="0.3">
      <c r="A157" s="3">
        <v>28.96</v>
      </c>
    </row>
    <row r="158" spans="1:1" x14ac:dyDescent="0.3">
      <c r="A158" s="3">
        <v>19.71</v>
      </c>
    </row>
    <row r="159" spans="1:1" x14ac:dyDescent="0.3">
      <c r="A159" s="3">
        <v>36.46</v>
      </c>
    </row>
    <row r="160" spans="1:1" x14ac:dyDescent="0.3">
      <c r="A160" s="3">
        <v>24.53</v>
      </c>
    </row>
    <row r="161" spans="1:1" x14ac:dyDescent="0.3">
      <c r="A161" s="3">
        <v>28.03</v>
      </c>
    </row>
    <row r="162" spans="1:1" x14ac:dyDescent="0.3">
      <c r="A162" s="3">
        <v>69.67</v>
      </c>
    </row>
    <row r="163" spans="1:1" x14ac:dyDescent="0.3">
      <c r="A163" s="3">
        <v>33.520000000000003</v>
      </c>
    </row>
    <row r="164" spans="1:1" x14ac:dyDescent="0.3">
      <c r="A164" s="3">
        <v>21.42</v>
      </c>
    </row>
    <row r="165" spans="1:1" x14ac:dyDescent="0.3">
      <c r="A165" s="3">
        <v>39.71</v>
      </c>
    </row>
    <row r="166" spans="1:1" x14ac:dyDescent="0.3">
      <c r="A166" s="3">
        <v>30.53</v>
      </c>
    </row>
    <row r="167" spans="1:1" x14ac:dyDescent="0.3">
      <c r="A167" s="3">
        <v>49.16</v>
      </c>
    </row>
    <row r="168" spans="1:1" x14ac:dyDescent="0.3">
      <c r="A168" s="3">
        <v>74.900000000000006</v>
      </c>
    </row>
    <row r="169" spans="1:1" x14ac:dyDescent="0.3">
      <c r="A169" s="3">
        <v>22.28</v>
      </c>
    </row>
    <row r="170" spans="1:1" x14ac:dyDescent="0.3">
      <c r="A170" s="3">
        <v>45.94</v>
      </c>
    </row>
    <row r="171" spans="1:1" x14ac:dyDescent="0.3">
      <c r="A171" s="3">
        <v>38.19</v>
      </c>
    </row>
    <row r="172" spans="1:1" x14ac:dyDescent="0.3">
      <c r="A172" s="3">
        <v>57.27</v>
      </c>
    </row>
    <row r="173" spans="1:1" x14ac:dyDescent="0.3">
      <c r="A173" s="3">
        <v>32.630000000000003</v>
      </c>
    </row>
    <row r="174" spans="1:1" x14ac:dyDescent="0.3">
      <c r="A174" s="3">
        <v>55.61</v>
      </c>
    </row>
    <row r="175" spans="1:1" x14ac:dyDescent="0.3">
      <c r="A175" s="3">
        <v>15.29</v>
      </c>
    </row>
    <row r="176" spans="1:1" x14ac:dyDescent="0.3">
      <c r="A176" s="3">
        <v>85.18</v>
      </c>
    </row>
    <row r="177" spans="1:1" x14ac:dyDescent="0.3">
      <c r="A177" s="3">
        <v>56.4</v>
      </c>
    </row>
    <row r="178" spans="1:1" x14ac:dyDescent="0.3">
      <c r="A178" s="3">
        <v>33.94</v>
      </c>
    </row>
    <row r="179" spans="1:1" x14ac:dyDescent="0.3">
      <c r="A179" s="3">
        <v>17.73</v>
      </c>
    </row>
    <row r="180" spans="1:1" x14ac:dyDescent="0.3">
      <c r="A180" s="3">
        <v>50.48</v>
      </c>
    </row>
    <row r="181" spans="1:1" x14ac:dyDescent="0.3">
      <c r="A181" s="3">
        <v>46.6</v>
      </c>
    </row>
    <row r="182" spans="1:1" x14ac:dyDescent="0.3">
      <c r="A182" s="3">
        <v>36.479999999999997</v>
      </c>
    </row>
    <row r="183" spans="1:1" x14ac:dyDescent="0.3">
      <c r="A183" s="3">
        <v>39.479999999999997</v>
      </c>
    </row>
    <row r="184" spans="1:1" x14ac:dyDescent="0.3">
      <c r="A184" s="3">
        <v>27.33</v>
      </c>
    </row>
    <row r="185" spans="1:1" x14ac:dyDescent="0.3">
      <c r="A185" s="3">
        <v>44.01</v>
      </c>
    </row>
    <row r="186" spans="1:1" x14ac:dyDescent="0.3">
      <c r="A186" s="3">
        <v>42.41</v>
      </c>
    </row>
    <row r="187" spans="1:1" x14ac:dyDescent="0.3">
      <c r="A187" s="3">
        <v>31.83</v>
      </c>
    </row>
    <row r="188" spans="1:1" x14ac:dyDescent="0.3">
      <c r="A188" s="3">
        <v>18.760000000000002</v>
      </c>
    </row>
    <row r="189" spans="1:1" x14ac:dyDescent="0.3">
      <c r="A189" s="3">
        <v>51.95</v>
      </c>
    </row>
    <row r="190" spans="1:1" x14ac:dyDescent="0.3">
      <c r="A190" s="3">
        <v>48.28</v>
      </c>
    </row>
    <row r="191" spans="1:1" x14ac:dyDescent="0.3">
      <c r="A191" s="3">
        <v>24.09</v>
      </c>
    </row>
    <row r="192" spans="1:1" x14ac:dyDescent="0.3">
      <c r="A192" s="3">
        <v>16.489999999999998</v>
      </c>
    </row>
    <row r="193" spans="1:1" x14ac:dyDescent="0.3">
      <c r="A193" s="3">
        <v>40.549999999999997</v>
      </c>
    </row>
    <row r="194" spans="1:1" x14ac:dyDescent="0.3">
      <c r="A194" s="3">
        <v>30.8</v>
      </c>
    </row>
    <row r="195" spans="1:1" x14ac:dyDescent="0.3">
      <c r="A195" s="3">
        <v>41.53</v>
      </c>
    </row>
    <row r="196" spans="1:1" x14ac:dyDescent="0.3">
      <c r="A196" s="3">
        <v>19.16</v>
      </c>
    </row>
    <row r="197" spans="1:1" x14ac:dyDescent="0.3">
      <c r="A197" s="3">
        <v>22.66</v>
      </c>
    </row>
    <row r="198" spans="1:1" x14ac:dyDescent="0.3">
      <c r="A198" s="3">
        <v>62.98</v>
      </c>
    </row>
    <row r="199" spans="1:1" x14ac:dyDescent="0.3">
      <c r="A199" s="3">
        <v>44.79</v>
      </c>
    </row>
    <row r="200" spans="1:1" x14ac:dyDescent="0.3">
      <c r="A200" s="3">
        <v>49.07</v>
      </c>
    </row>
    <row r="201" spans="1:1" x14ac:dyDescent="0.3">
      <c r="A201" s="3">
        <v>90.71</v>
      </c>
    </row>
    <row r="202" spans="1:1" x14ac:dyDescent="0.3">
      <c r="A202" s="3">
        <v>39.03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1F42-4D58-4991-AB48-0A3E96002898}">
  <dimension ref="A1:F24"/>
  <sheetViews>
    <sheetView workbookViewId="0"/>
  </sheetViews>
  <sheetFormatPr defaultRowHeight="14.4" x14ac:dyDescent="0.3"/>
  <cols>
    <col min="1" max="1" width="44.77734375" customWidth="1"/>
    <col min="2" max="2" width="30.77734375" customWidth="1"/>
    <col min="3" max="3" width="20.77734375" customWidth="1"/>
  </cols>
  <sheetData>
    <row r="1" spans="1:6" x14ac:dyDescent="0.3">
      <c r="A1" s="1" t="s">
        <v>0</v>
      </c>
    </row>
    <row r="2" spans="1:6" x14ac:dyDescent="0.3">
      <c r="A2" t="s">
        <v>1</v>
      </c>
    </row>
    <row r="3" spans="1:6" x14ac:dyDescent="0.3">
      <c r="A3" t="s">
        <v>2</v>
      </c>
    </row>
    <row r="5" spans="1:6" x14ac:dyDescent="0.3">
      <c r="A5" s="1" t="s">
        <v>3</v>
      </c>
      <c r="B5" s="1" t="s">
        <v>4</v>
      </c>
      <c r="C5" s="1" t="s">
        <v>5</v>
      </c>
    </row>
    <row r="6" spans="1:6" x14ac:dyDescent="0.3">
      <c r="A6" t="s">
        <v>6</v>
      </c>
      <c r="B6">
        <v>10</v>
      </c>
      <c r="C6">
        <v>15</v>
      </c>
      <c r="D6">
        <v>20</v>
      </c>
      <c r="E6">
        <v>25</v>
      </c>
      <c r="F6">
        <v>999</v>
      </c>
    </row>
    <row r="8" spans="1:6" x14ac:dyDescent="0.3">
      <c r="A8" t="s">
        <v>7</v>
      </c>
      <c r="B8">
        <f>_xlfn.QUARTILE.INC($B$6:$F$6,1)</f>
        <v>15</v>
      </c>
      <c r="C8">
        <v>15</v>
      </c>
    </row>
    <row r="9" spans="1:6" x14ac:dyDescent="0.3">
      <c r="A9" t="s">
        <v>8</v>
      </c>
      <c r="B9">
        <f>_xlfn.QUARTILE.INC($B$6:$F$6,3)</f>
        <v>25</v>
      </c>
      <c r="C9">
        <v>25</v>
      </c>
    </row>
    <row r="10" spans="1:6" x14ac:dyDescent="0.3">
      <c r="A10" t="s">
        <v>9</v>
      </c>
      <c r="B10">
        <f>B9-B8</f>
        <v>10</v>
      </c>
      <c r="C10">
        <v>10</v>
      </c>
    </row>
    <row r="11" spans="1:6" x14ac:dyDescent="0.3">
      <c r="A11" t="s">
        <v>10</v>
      </c>
      <c r="B11">
        <f>B8-1.5*B10</f>
        <v>0</v>
      </c>
      <c r="C11">
        <v>0</v>
      </c>
    </row>
    <row r="12" spans="1:6" x14ac:dyDescent="0.3">
      <c r="A12" t="s">
        <v>11</v>
      </c>
      <c r="B12">
        <f>B9+1.5*B10</f>
        <v>40</v>
      </c>
      <c r="C12">
        <v>40</v>
      </c>
    </row>
    <row r="13" spans="1:6" x14ac:dyDescent="0.3">
      <c r="A13" t="s">
        <v>12</v>
      </c>
      <c r="B13">
        <f>COUNTIF($B$6:$F$6,"&gt;"&amp;B12)+COUNTIF($B$6:$F$6,"&lt;"&amp;B11)</f>
        <v>1</v>
      </c>
      <c r="C13">
        <v>1</v>
      </c>
    </row>
    <row r="14" spans="1:6" x14ac:dyDescent="0.3">
      <c r="A14" t="s">
        <v>13</v>
      </c>
      <c r="B14" t="str">
        <f t="array" ref="B14">_xlfn.TEXTJOIN(", ",TRUE,IF(($B$6:$F$6&gt;=B11)*($B$6:$F$6&lt;=B12),$B$6:$F$6&amp;"",""))</f>
        <v>10, 15, 20, 25</v>
      </c>
      <c r="C14" t="s">
        <v>14</v>
      </c>
    </row>
    <row r="15" spans="1:6" x14ac:dyDescent="0.3">
      <c r="A15" t="s">
        <v>15</v>
      </c>
      <c r="B15" t="str">
        <f t="array" ref="B15">_xlfn.TEXTJOIN(", ",TRUE,IF(($B$6:$F$6&lt;B11)+($B$6:$F$6&gt;B12),$B$6:$F$6&amp;"",""))</f>
        <v>999</v>
      </c>
      <c r="C15">
        <v>999</v>
      </c>
    </row>
    <row r="17" spans="1:2" x14ac:dyDescent="0.3">
      <c r="A17" s="1" t="s">
        <v>16</v>
      </c>
      <c r="B17" s="1" t="str">
        <f>IF(AND(ABS(B8-C8)&lt;0.0001,ABS(B9-C9)&lt;0.0001,ABS(B10-C10)&lt;0.0001,ABS(B11-C11)&lt;0.0001,ABS(B12-C12)&lt;0.0001,B13=C13),"MATCH - spreadsheet and R agree at every step","MISMATCH - investigate")</f>
        <v>MATCH - spreadsheet and R agree at every step</v>
      </c>
    </row>
    <row r="19" spans="1:2" x14ac:dyDescent="0.3">
      <c r="A19" s="2" t="s">
        <v>17</v>
      </c>
    </row>
    <row r="20" spans="1:2" x14ac:dyDescent="0.3">
      <c r="A20" t="s">
        <v>18</v>
      </c>
    </row>
    <row r="21" spans="1:2" x14ac:dyDescent="0.3">
      <c r="A21" t="s">
        <v>19</v>
      </c>
    </row>
    <row r="22" spans="1:2" x14ac:dyDescent="0.3">
      <c r="A22" t="s">
        <v>20</v>
      </c>
    </row>
    <row r="23" spans="1:2" x14ac:dyDescent="0.3">
      <c r="A23" t="s">
        <v>21</v>
      </c>
    </row>
    <row r="24" spans="1:2" x14ac:dyDescent="0.3">
      <c r="A2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 Verification notes</vt:lpstr>
      <vt:lpstr>2 Two hundred values</vt:lpstr>
      <vt:lpstr>1 Five value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Srijan Gajurel</dc:creator>
  <cp:lastModifiedBy>Srijan Gajurel</cp:lastModifiedBy>
  <dcterms:created xsi:type="dcterms:W3CDTF">2026-09-28T17:05:36Z</dcterms:created>
  <dcterms:modified xsi:type="dcterms:W3CDTF">2026-09-28T17:05:56Z</dcterms:modified>
</cp:coreProperties>
</file>